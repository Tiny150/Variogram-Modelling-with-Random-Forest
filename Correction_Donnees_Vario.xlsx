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INE\Licence\3 ieme année\Géostatistique\"/>
    </mc:Choice>
  </mc:AlternateContent>
  <xr:revisionPtr revIDLastSave="0" documentId="13_ncr:1_{7919CD38-EC4A-4512-8D6C-BBE6B76D097D}" xr6:coauthVersionLast="47" xr6:coauthVersionMax="47" xr10:uidLastSave="{00000000-0000-0000-0000-000000000000}"/>
  <bookViews>
    <workbookView xWindow="-110" yWindow="-110" windowWidth="19420" windowHeight="10300" xr2:uid="{53646AC0-08EA-4C1D-89B4-655F4865163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I2" i="1"/>
  <c r="H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2" i="1"/>
  <c r="K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2" i="1"/>
  <c r="D2" i="1" s="1"/>
  <c r="G29" i="1" l="1"/>
  <c r="E29" i="1"/>
  <c r="G21" i="1"/>
  <c r="E21" i="1"/>
  <c r="G13" i="1"/>
  <c r="E13" i="1"/>
  <c r="G5" i="1"/>
  <c r="E5" i="1"/>
  <c r="N26" i="1"/>
  <c r="L26" i="1"/>
  <c r="N18" i="1"/>
  <c r="L18" i="1"/>
  <c r="N10" i="1"/>
  <c r="L10" i="1"/>
  <c r="G28" i="1"/>
  <c r="E28" i="1"/>
  <c r="G20" i="1"/>
  <c r="E20" i="1"/>
  <c r="G12" i="1"/>
  <c r="E12" i="1"/>
  <c r="G4" i="1"/>
  <c r="E4" i="1"/>
  <c r="L25" i="1"/>
  <c r="N25" i="1"/>
  <c r="L17" i="1"/>
  <c r="N17" i="1"/>
  <c r="L9" i="1"/>
  <c r="N9" i="1"/>
  <c r="L5" i="1"/>
  <c r="N5" i="1"/>
  <c r="E2" i="1"/>
  <c r="G2" i="1"/>
  <c r="E27" i="1"/>
  <c r="G27" i="1"/>
  <c r="E23" i="1"/>
  <c r="G23" i="1"/>
  <c r="E19" i="1"/>
  <c r="G19" i="1"/>
  <c r="E15" i="1"/>
  <c r="G15" i="1"/>
  <c r="E11" i="1"/>
  <c r="G11" i="1"/>
  <c r="E7" i="1"/>
  <c r="G7" i="1"/>
  <c r="E3" i="1"/>
  <c r="G3" i="1"/>
  <c r="L28" i="1"/>
  <c r="N28" i="1"/>
  <c r="L24" i="1"/>
  <c r="N24" i="1"/>
  <c r="L20" i="1"/>
  <c r="N20" i="1"/>
  <c r="L16" i="1"/>
  <c r="N16" i="1"/>
  <c r="L12" i="1"/>
  <c r="N12" i="1"/>
  <c r="L8" i="1"/>
  <c r="N8" i="1"/>
  <c r="L4" i="1"/>
  <c r="N4" i="1"/>
  <c r="G25" i="1"/>
  <c r="E25" i="1"/>
  <c r="G17" i="1"/>
  <c r="E17" i="1"/>
  <c r="G9" i="1"/>
  <c r="E9" i="1"/>
  <c r="N30" i="1"/>
  <c r="L30" i="1"/>
  <c r="N22" i="1"/>
  <c r="L22" i="1"/>
  <c r="N14" i="1"/>
  <c r="L14" i="1"/>
  <c r="N6" i="1"/>
  <c r="L6" i="1"/>
  <c r="G24" i="1"/>
  <c r="E24" i="1"/>
  <c r="G16" i="1"/>
  <c r="E16" i="1"/>
  <c r="G8" i="1"/>
  <c r="E8" i="1"/>
  <c r="L29" i="1"/>
  <c r="N29" i="1"/>
  <c r="L21" i="1"/>
  <c r="N21" i="1"/>
  <c r="L13" i="1"/>
  <c r="N13" i="1"/>
  <c r="E30" i="1"/>
  <c r="G30" i="1"/>
  <c r="E26" i="1"/>
  <c r="G26" i="1"/>
  <c r="E22" i="1"/>
  <c r="G22" i="1"/>
  <c r="E18" i="1"/>
  <c r="G18" i="1"/>
  <c r="E14" i="1"/>
  <c r="G14" i="1"/>
  <c r="E10" i="1"/>
  <c r="G10" i="1"/>
  <c r="E6" i="1"/>
  <c r="G6" i="1"/>
  <c r="N2" i="1"/>
  <c r="L2" i="1"/>
  <c r="N27" i="1"/>
  <c r="L27" i="1"/>
  <c r="N23" i="1"/>
  <c r="L23" i="1"/>
  <c r="N19" i="1"/>
  <c r="L19" i="1"/>
  <c r="N15" i="1"/>
  <c r="L15" i="1"/>
  <c r="N11" i="1"/>
  <c r="L11" i="1"/>
  <c r="N7" i="1"/>
  <c r="L7" i="1"/>
  <c r="N3" i="1"/>
  <c r="L3" i="1"/>
  <c r="F2" i="1" l="1"/>
  <c r="M2" i="1"/>
  <c r="O2" i="1"/>
</calcChain>
</file>

<file path=xl/sharedStrings.xml><?xml version="1.0" encoding="utf-8"?>
<sst xmlns="http://schemas.openxmlformats.org/spreadsheetml/2006/main" count="21" uniqueCount="13">
  <si>
    <t xml:space="preserve">ɣ (h) </t>
  </si>
  <si>
    <t xml:space="preserve">25 .2 </t>
  </si>
  <si>
    <t>h (en m)</t>
  </si>
  <si>
    <t xml:space="preserve">h(en km) </t>
  </si>
  <si>
    <t>y log</t>
  </si>
  <si>
    <t>y(h)-ylog</t>
  </si>
  <si>
    <t>MAE</t>
  </si>
  <si>
    <t>RMSE</t>
  </si>
  <si>
    <t>Abs</t>
  </si>
  <si>
    <t>Carrés</t>
  </si>
  <si>
    <t>y pui</t>
  </si>
  <si>
    <t>y(h)-ypui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</si>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</sst>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ɣ (h)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7.3751391556250252E-4"/>
                  <c:y val="-9.87998317967092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Feuil1!$A$2:$A$30</c:f>
              <c:numCache>
                <c:formatCode>General</c:formatCode>
                <c:ptCount val="29"/>
                <c:pt idx="0">
                  <c:v>1</c:v>
                </c:pt>
                <c:pt idx="1">
                  <c:v>1.4</c:v>
                </c:pt>
                <c:pt idx="2">
                  <c:v>2</c:v>
                </c:pt>
                <c:pt idx="3">
                  <c:v>2.83</c:v>
                </c:pt>
                <c:pt idx="4">
                  <c:v>3</c:v>
                </c:pt>
                <c:pt idx="5">
                  <c:v>4</c:v>
                </c:pt>
                <c:pt idx="6">
                  <c:v>4.24</c:v>
                </c:pt>
                <c:pt idx="7">
                  <c:v>5</c:v>
                </c:pt>
                <c:pt idx="8">
                  <c:v>5.65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8.49</c:v>
                </c:pt>
                <c:pt idx="13">
                  <c:v>9</c:v>
                </c:pt>
                <c:pt idx="14">
                  <c:v>10</c:v>
                </c:pt>
                <c:pt idx="15">
                  <c:v>14.1</c:v>
                </c:pt>
                <c:pt idx="16">
                  <c:v>20</c:v>
                </c:pt>
                <c:pt idx="17">
                  <c:v>28.2</c:v>
                </c:pt>
                <c:pt idx="18">
                  <c:v>30</c:v>
                </c:pt>
                <c:pt idx="19">
                  <c:v>40</c:v>
                </c:pt>
                <c:pt idx="20">
                  <c:v>42.5</c:v>
                </c:pt>
                <c:pt idx="21">
                  <c:v>50</c:v>
                </c:pt>
                <c:pt idx="22">
                  <c:v>56.5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84.9</c:v>
                </c:pt>
                <c:pt idx="27">
                  <c:v>90</c:v>
                </c:pt>
                <c:pt idx="28">
                  <c:v>100</c:v>
                </c:pt>
              </c:numCache>
            </c:numRef>
          </c:xVal>
          <c:yVal>
            <c:numRef>
              <c:f>Feuil1!$B$2:$B$30</c:f>
              <c:numCache>
                <c:formatCode>General</c:formatCode>
                <c:ptCount val="29"/>
                <c:pt idx="0">
                  <c:v>9.42</c:v>
                </c:pt>
                <c:pt idx="1">
                  <c:v>9.6</c:v>
                </c:pt>
                <c:pt idx="2">
                  <c:v>12.18</c:v>
                </c:pt>
                <c:pt idx="3">
                  <c:v>12.9</c:v>
                </c:pt>
                <c:pt idx="4">
                  <c:v>14.18</c:v>
                </c:pt>
                <c:pt idx="5">
                  <c:v>15.75</c:v>
                </c:pt>
                <c:pt idx="6">
                  <c:v>14.4</c:v>
                </c:pt>
                <c:pt idx="7">
                  <c:v>17.760000000000002</c:v>
                </c:pt>
                <c:pt idx="8">
                  <c:v>17.12</c:v>
                </c:pt>
                <c:pt idx="9">
                  <c:v>20.18</c:v>
                </c:pt>
                <c:pt idx="10">
                  <c:v>18.95</c:v>
                </c:pt>
                <c:pt idx="11">
                  <c:v>21.37</c:v>
                </c:pt>
                <c:pt idx="12">
                  <c:v>22.83</c:v>
                </c:pt>
                <c:pt idx="13">
                  <c:v>26.33</c:v>
                </c:pt>
                <c:pt idx="14">
                  <c:v>25.2</c:v>
                </c:pt>
                <c:pt idx="15">
                  <c:v>24.45</c:v>
                </c:pt>
                <c:pt idx="16">
                  <c:v>25.5</c:v>
                </c:pt>
                <c:pt idx="17">
                  <c:v>31.5</c:v>
                </c:pt>
                <c:pt idx="18">
                  <c:v>27.6</c:v>
                </c:pt>
                <c:pt idx="19">
                  <c:v>28.5</c:v>
                </c:pt>
                <c:pt idx="20">
                  <c:v>39.700000000000003</c:v>
                </c:pt>
                <c:pt idx="21">
                  <c:v>30.1</c:v>
                </c:pt>
                <c:pt idx="22">
                  <c:v>30.3</c:v>
                </c:pt>
                <c:pt idx="23">
                  <c:v>31</c:v>
                </c:pt>
                <c:pt idx="24">
                  <c:v>32.1</c:v>
                </c:pt>
                <c:pt idx="25">
                  <c:v>27.8</c:v>
                </c:pt>
                <c:pt idx="26">
                  <c:v>33.700000000000003</c:v>
                </c:pt>
                <c:pt idx="27">
                  <c:v>30.5</c:v>
                </c:pt>
                <c:pt idx="28">
                  <c:v>33.200000000000003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5-461B-9D58-39A431FFB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13744"/>
        <c:axId val="114711344"/>
      </c:scatterChart>
      <c:valAx>
        <c:axId val="1147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711344"/>
        <c:crosses val="autoZero"/>
        <c:crossBetween val="midCat"/>
      </c:valAx>
      <c:valAx>
        <c:axId val="1147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7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ɣ (h)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7383697146731521E-2"/>
                  <c:y val="-3.37416245079739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Feuil1!$A$2:$A$30</c:f>
              <c:numCache>
                <c:formatCode>General</c:formatCode>
                <c:ptCount val="29"/>
                <c:pt idx="0">
                  <c:v>1</c:v>
                </c:pt>
                <c:pt idx="1">
                  <c:v>1.4</c:v>
                </c:pt>
                <c:pt idx="2">
                  <c:v>2</c:v>
                </c:pt>
                <c:pt idx="3">
                  <c:v>2.83</c:v>
                </c:pt>
                <c:pt idx="4">
                  <c:v>3</c:v>
                </c:pt>
                <c:pt idx="5">
                  <c:v>4</c:v>
                </c:pt>
                <c:pt idx="6">
                  <c:v>4.24</c:v>
                </c:pt>
                <c:pt idx="7">
                  <c:v>5</c:v>
                </c:pt>
                <c:pt idx="8">
                  <c:v>5.65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8.49</c:v>
                </c:pt>
                <c:pt idx="13">
                  <c:v>9</c:v>
                </c:pt>
                <c:pt idx="14">
                  <c:v>10</c:v>
                </c:pt>
                <c:pt idx="15">
                  <c:v>14.1</c:v>
                </c:pt>
                <c:pt idx="16">
                  <c:v>20</c:v>
                </c:pt>
                <c:pt idx="17">
                  <c:v>28.2</c:v>
                </c:pt>
                <c:pt idx="18">
                  <c:v>30</c:v>
                </c:pt>
                <c:pt idx="19">
                  <c:v>40</c:v>
                </c:pt>
                <c:pt idx="20">
                  <c:v>42.5</c:v>
                </c:pt>
                <c:pt idx="21">
                  <c:v>50</c:v>
                </c:pt>
                <c:pt idx="22">
                  <c:v>56.5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84.9</c:v>
                </c:pt>
                <c:pt idx="27">
                  <c:v>90</c:v>
                </c:pt>
                <c:pt idx="28">
                  <c:v>100</c:v>
                </c:pt>
              </c:numCache>
            </c:numRef>
          </c:xVal>
          <c:yVal>
            <c:numRef>
              <c:f>Feuil1!$B$2:$B$30</c:f>
              <c:numCache>
                <c:formatCode>General</c:formatCode>
                <c:ptCount val="29"/>
                <c:pt idx="0">
                  <c:v>9.42</c:v>
                </c:pt>
                <c:pt idx="1">
                  <c:v>9.6</c:v>
                </c:pt>
                <c:pt idx="2">
                  <c:v>12.18</c:v>
                </c:pt>
                <c:pt idx="3">
                  <c:v>12.9</c:v>
                </c:pt>
                <c:pt idx="4">
                  <c:v>14.18</c:v>
                </c:pt>
                <c:pt idx="5">
                  <c:v>15.75</c:v>
                </c:pt>
                <c:pt idx="6">
                  <c:v>14.4</c:v>
                </c:pt>
                <c:pt idx="7">
                  <c:v>17.760000000000002</c:v>
                </c:pt>
                <c:pt idx="8">
                  <c:v>17.12</c:v>
                </c:pt>
                <c:pt idx="9">
                  <c:v>20.18</c:v>
                </c:pt>
                <c:pt idx="10">
                  <c:v>18.95</c:v>
                </c:pt>
                <c:pt idx="11">
                  <c:v>21.37</c:v>
                </c:pt>
                <c:pt idx="12">
                  <c:v>22.83</c:v>
                </c:pt>
                <c:pt idx="13">
                  <c:v>26.33</c:v>
                </c:pt>
                <c:pt idx="14">
                  <c:v>25.2</c:v>
                </c:pt>
                <c:pt idx="15">
                  <c:v>24.45</c:v>
                </c:pt>
                <c:pt idx="16">
                  <c:v>25.5</c:v>
                </c:pt>
                <c:pt idx="17">
                  <c:v>31.5</c:v>
                </c:pt>
                <c:pt idx="18">
                  <c:v>27.6</c:v>
                </c:pt>
                <c:pt idx="19">
                  <c:v>28.5</c:v>
                </c:pt>
                <c:pt idx="20">
                  <c:v>39.700000000000003</c:v>
                </c:pt>
                <c:pt idx="21">
                  <c:v>30.1</c:v>
                </c:pt>
                <c:pt idx="22">
                  <c:v>30.3</c:v>
                </c:pt>
                <c:pt idx="23">
                  <c:v>31</c:v>
                </c:pt>
                <c:pt idx="24">
                  <c:v>32.1</c:v>
                </c:pt>
                <c:pt idx="25">
                  <c:v>27.8</c:v>
                </c:pt>
                <c:pt idx="26">
                  <c:v>33.700000000000003</c:v>
                </c:pt>
                <c:pt idx="27">
                  <c:v>30.5</c:v>
                </c:pt>
                <c:pt idx="28">
                  <c:v>33.200000000000003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A-4FAF-9660-3FCF22F2B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034704"/>
        <c:axId val="328029904"/>
      </c:scatterChart>
      <c:valAx>
        <c:axId val="3280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029904"/>
        <c:crosses val="autoZero"/>
        <c:crossBetween val="midCat"/>
      </c:valAx>
      <c:valAx>
        <c:axId val="3280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03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422275</xdr:colOff>
      <xdr:row>1</xdr:row>
      <xdr:rowOff>87489</xdr:rowOff>
    </xdr:from>
    <xdr:to>
      <xdr:col>26</xdr:col>
      <xdr:colOff>422275</xdr:colOff>
      <xdr:row>13</xdr:row>
      <xdr:rowOff>87489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39473D4-D950-DD37-D8DC-6AF92022F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376414</xdr:colOff>
      <xdr:row>15</xdr:row>
      <xdr:rowOff>175684</xdr:rowOff>
    </xdr:from>
    <xdr:to>
      <xdr:col>27</xdr:col>
      <xdr:colOff>376414</xdr:colOff>
      <xdr:row>27</xdr:row>
      <xdr:rowOff>175684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117A842-2D9C-DAF3-3CDB-DACCD7AE0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6479-EDD3-437C-AAE0-E8FC9C2E63FC}">
  <dimension ref="A1:P30"/>
  <sheetViews>
    <sheetView tabSelected="1" topLeftCell="D1" zoomScale="56" zoomScaleNormal="34" workbookViewId="0">
      <selection activeCell="P2" sqref="P2"/>
    </sheetView>
  </sheetViews>
  <sheetFormatPr baseColWidth="10" defaultRowHeight="14.5" x14ac:dyDescent="0.35"/>
  <cols>
    <col min="8" max="9" width="10.90625" customWidth="1"/>
  </cols>
  <sheetData>
    <row r="1" spans="1:16" ht="18" x14ac:dyDescent="0.35">
      <c r="A1" s="1" t="s">
        <v>3</v>
      </c>
      <c r="B1" s="1" t="s">
        <v>0</v>
      </c>
      <c r="C1" t="s">
        <v>4</v>
      </c>
      <c r="D1" t="s">
        <v>5</v>
      </c>
      <c r="E1" t="s">
        <v>8</v>
      </c>
      <c r="F1" s="7" t="s">
        <v>6</v>
      </c>
      <c r="G1" t="s">
        <v>9</v>
      </c>
      <c r="H1" s="7" t="s">
        <v>7</v>
      </c>
      <c r="I1" s="7" t="s">
        <v>12</v>
      </c>
      <c r="J1" t="s">
        <v>10</v>
      </c>
      <c r="K1" s="7" t="s">
        <v>11</v>
      </c>
      <c r="L1" t="s">
        <v>8</v>
      </c>
      <c r="M1" s="7" t="s">
        <v>6</v>
      </c>
      <c r="N1" t="s">
        <v>9</v>
      </c>
      <c r="O1" s="7" t="s">
        <v>7</v>
      </c>
      <c r="P1" s="7" t="s">
        <v>12</v>
      </c>
    </row>
    <row r="2" spans="1:16" ht="18" x14ac:dyDescent="0.35">
      <c r="A2" s="1">
        <v>1</v>
      </c>
      <c r="B2" s="1">
        <v>9.42</v>
      </c>
      <c r="C2">
        <f>(5.5085*LN(A2)+9.1858)</f>
        <v>9.1858000000000004</v>
      </c>
      <c r="D2">
        <f>B2-C2</f>
        <v>0.23419999999999952</v>
      </c>
      <c r="E2">
        <f>ABS(D2)</f>
        <v>0.23419999999999952</v>
      </c>
      <c r="F2" s="7">
        <f>(SUM(E2:E30))/29</f>
        <v>1.8509535755411064</v>
      </c>
      <c r="G2">
        <f>D2^2</f>
        <v>5.4849639999999776E-2</v>
      </c>
      <c r="H2" s="7">
        <f>SQRT((SUM(G2:G30))/29)</f>
        <v>2.7732516946506336</v>
      </c>
      <c r="I2" s="7">
        <f>(SUM(G2:G30))/29</f>
        <v>7.6909249618826117</v>
      </c>
      <c r="J2">
        <f xml:space="preserve"> 10.989*(A2^0.2663)</f>
        <v>10.989000000000001</v>
      </c>
      <c r="K2">
        <f>(B2-J2)</f>
        <v>-1.5690000000000008</v>
      </c>
      <c r="L2">
        <f>ABS(K2)</f>
        <v>1.5690000000000008</v>
      </c>
      <c r="M2" s="7">
        <f>(SUM(L2:L30))/29</f>
        <v>2.6218103100944754</v>
      </c>
      <c r="N2">
        <f>K2^2</f>
        <v>2.4617610000000028</v>
      </c>
      <c r="O2" s="7">
        <f>SQRT((SUM(N2:N30))/29)</f>
        <v>3.5211310415031627</v>
      </c>
      <c r="P2" s="7">
        <f>(SUM(N2:N30))/29</f>
        <v>12.398363811437147</v>
      </c>
    </row>
    <row r="3" spans="1:16" ht="18" x14ac:dyDescent="0.35">
      <c r="A3" s="1">
        <v>1.4</v>
      </c>
      <c r="B3" s="1">
        <v>9.6</v>
      </c>
      <c r="C3">
        <f t="shared" ref="C3:C30" si="0">(5.5085*LN(A3)+9.1858)</f>
        <v>11.039257315427951</v>
      </c>
      <c r="D3">
        <f t="shared" ref="D3:D30" si="1">B3-C3</f>
        <v>-1.4392573154279518</v>
      </c>
      <c r="E3">
        <f t="shared" ref="E3:E30" si="2">ABS(D3)</f>
        <v>1.4392573154279518</v>
      </c>
      <c r="G3">
        <f t="shared" ref="G3:G30" si="3">D3^2</f>
        <v>2.0714616200128746</v>
      </c>
      <c r="J3">
        <f xml:space="preserve"> 10.989*(A3^0.2663)</f>
        <v>12.01910334108466</v>
      </c>
      <c r="K3">
        <f>(B3-J3)</f>
        <v>-2.4191033410846607</v>
      </c>
      <c r="L3">
        <f t="shared" ref="L3:L30" si="4">ABS(K3)</f>
        <v>2.4191033410846607</v>
      </c>
      <c r="N3">
        <f t="shared" ref="N3:N30" si="5">K3^2</f>
        <v>5.8520609748469683</v>
      </c>
    </row>
    <row r="4" spans="1:16" ht="18" x14ac:dyDescent="0.35">
      <c r="A4" s="1">
        <v>2</v>
      </c>
      <c r="B4" s="1">
        <v>12.18</v>
      </c>
      <c r="C4">
        <f t="shared" si="0"/>
        <v>13.004001244114459</v>
      </c>
      <c r="D4">
        <f t="shared" si="1"/>
        <v>-0.8240012441144593</v>
      </c>
      <c r="E4">
        <f t="shared" si="2"/>
        <v>0.8240012441144593</v>
      </c>
      <c r="G4">
        <f t="shared" si="3"/>
        <v>0.67897805030217673</v>
      </c>
      <c r="J4">
        <f xml:space="preserve"> 10.989*(A4^0.2663)</f>
        <v>13.216682622300906</v>
      </c>
      <c r="K4">
        <f>(B4-J4)</f>
        <v>-1.0366826223009067</v>
      </c>
      <c r="L4">
        <f t="shared" si="4"/>
        <v>1.0366826223009067</v>
      </c>
      <c r="N4">
        <f t="shared" si="5"/>
        <v>1.0747108593806844</v>
      </c>
    </row>
    <row r="5" spans="1:16" ht="18" x14ac:dyDescent="0.35">
      <c r="A5" s="1">
        <v>2.83</v>
      </c>
      <c r="B5" s="1">
        <v>12.9</v>
      </c>
      <c r="C5">
        <f t="shared" si="0"/>
        <v>14.916164266152375</v>
      </c>
      <c r="D5">
        <f t="shared" si="1"/>
        <v>-2.0161642661523747</v>
      </c>
      <c r="E5">
        <f t="shared" si="2"/>
        <v>2.0161642661523747</v>
      </c>
      <c r="G5">
        <f t="shared" si="3"/>
        <v>4.0649183481097433</v>
      </c>
      <c r="J5">
        <f xml:space="preserve"> 10.989*(A5^0.2663)</f>
        <v>14.49669164208356</v>
      </c>
      <c r="K5">
        <f>(B5-J5)</f>
        <v>-1.5966916420835595</v>
      </c>
      <c r="L5">
        <f t="shared" si="4"/>
        <v>1.5966916420835595</v>
      </c>
      <c r="N5">
        <f t="shared" si="5"/>
        <v>2.5494241998994935</v>
      </c>
    </row>
    <row r="6" spans="1:16" ht="18" x14ac:dyDescent="0.35">
      <c r="A6" s="1">
        <v>3</v>
      </c>
      <c r="B6" s="1">
        <v>14.18</v>
      </c>
      <c r="C6">
        <f t="shared" si="0"/>
        <v>15.237505792128282</v>
      </c>
      <c r="D6">
        <f t="shared" si="1"/>
        <v>-1.057505792128282</v>
      </c>
      <c r="E6">
        <f t="shared" si="2"/>
        <v>1.057505792128282</v>
      </c>
      <c r="G6">
        <f t="shared" si="3"/>
        <v>1.1183185003848652</v>
      </c>
      <c r="J6">
        <f xml:space="preserve"> 10.989*(A6^0.2663)</f>
        <v>14.723652656401972</v>
      </c>
      <c r="K6">
        <f>(B6-J6)</f>
        <v>-0.54365265640197258</v>
      </c>
      <c r="L6">
        <f t="shared" si="4"/>
        <v>0.54365265640197258</v>
      </c>
      <c r="N6">
        <f t="shared" si="5"/>
        <v>0.29555821081292127</v>
      </c>
    </row>
    <row r="7" spans="1:16" ht="18" x14ac:dyDescent="0.35">
      <c r="A7" s="1">
        <v>4</v>
      </c>
      <c r="B7" s="1">
        <v>15.75</v>
      </c>
      <c r="C7">
        <f t="shared" si="0"/>
        <v>16.822202488228918</v>
      </c>
      <c r="D7">
        <f t="shared" si="1"/>
        <v>-1.0722024882289176</v>
      </c>
      <c r="E7">
        <f t="shared" si="2"/>
        <v>1.0722024882289176</v>
      </c>
      <c r="G7">
        <f t="shared" si="3"/>
        <v>1.1496181757642823</v>
      </c>
      <c r="J7">
        <f xml:space="preserve"> 10.989*(A7^0.2663)</f>
        <v>15.895959553974951</v>
      </c>
      <c r="K7">
        <f>(B7-J7)</f>
        <v>-0.14595955397495075</v>
      </c>
      <c r="L7">
        <f t="shared" si="4"/>
        <v>0.14595955397495075</v>
      </c>
      <c r="N7">
        <f t="shared" si="5"/>
        <v>2.1304191396566561E-2</v>
      </c>
    </row>
    <row r="8" spans="1:16" ht="18" x14ac:dyDescent="0.35">
      <c r="A8" s="1">
        <v>4.24</v>
      </c>
      <c r="B8" s="1">
        <v>14.4</v>
      </c>
      <c r="C8">
        <f t="shared" si="0"/>
        <v>17.143176768629836</v>
      </c>
      <c r="D8">
        <f t="shared" si="1"/>
        <v>-2.7431767686298354</v>
      </c>
      <c r="E8">
        <f t="shared" si="2"/>
        <v>2.7431767686298354</v>
      </c>
      <c r="G8">
        <f t="shared" si="3"/>
        <v>7.5250187839504257</v>
      </c>
      <c r="J8">
        <f xml:space="preserve"> 10.989*(A8^0.2663)</f>
        <v>16.144540953386997</v>
      </c>
      <c r="K8">
        <f>(B8-J8)</f>
        <v>-1.7445409533869967</v>
      </c>
      <c r="L8">
        <f t="shared" si="4"/>
        <v>1.7445409533869967</v>
      </c>
      <c r="N8">
        <f t="shared" si="5"/>
        <v>3.0434231380444112</v>
      </c>
    </row>
    <row r="9" spans="1:16" ht="18" x14ac:dyDescent="0.35">
      <c r="A9" s="1">
        <v>5</v>
      </c>
      <c r="B9" s="1">
        <v>17.760000000000002</v>
      </c>
      <c r="C9">
        <f t="shared" si="0"/>
        <v>18.05138874064324</v>
      </c>
      <c r="D9">
        <f t="shared" si="1"/>
        <v>-0.29138874064323872</v>
      </c>
      <c r="E9">
        <f t="shared" si="2"/>
        <v>0.29138874064323872</v>
      </c>
      <c r="G9">
        <f t="shared" si="3"/>
        <v>8.4907398173652643E-2</v>
      </c>
      <c r="J9">
        <f xml:space="preserve"> 10.989*(A9^0.2663)</f>
        <v>16.86917662893315</v>
      </c>
      <c r="K9">
        <f>(B9-J9)</f>
        <v>0.89082337106685117</v>
      </c>
      <c r="L9">
        <f t="shared" si="4"/>
        <v>0.89082337106685117</v>
      </c>
      <c r="N9">
        <f t="shared" si="5"/>
        <v>0.79356627843890881</v>
      </c>
    </row>
    <row r="10" spans="1:16" ht="18" x14ac:dyDescent="0.35">
      <c r="A10" s="1">
        <v>5.65</v>
      </c>
      <c r="B10" s="1">
        <v>17.12</v>
      </c>
      <c r="C10">
        <f t="shared" si="0"/>
        <v>18.724624570504769</v>
      </c>
      <c r="D10">
        <f t="shared" si="1"/>
        <v>-1.6046245705047681</v>
      </c>
      <c r="E10">
        <f t="shared" si="2"/>
        <v>1.6046245705047681</v>
      </c>
      <c r="G10">
        <f t="shared" si="3"/>
        <v>2.5748200122676117</v>
      </c>
      <c r="J10">
        <f xml:space="preserve"> 10.989*(A10^0.2663)</f>
        <v>17.427242523869943</v>
      </c>
      <c r="K10">
        <f>(B10-J10)</f>
        <v>-0.30724252386994166</v>
      </c>
      <c r="L10">
        <f t="shared" si="4"/>
        <v>0.30724252386994166</v>
      </c>
      <c r="N10">
        <f t="shared" si="5"/>
        <v>9.4397968473971666E-2</v>
      </c>
    </row>
    <row r="11" spans="1:16" ht="18" x14ac:dyDescent="0.35">
      <c r="A11" s="1">
        <v>6</v>
      </c>
      <c r="B11" s="1">
        <v>20.18</v>
      </c>
      <c r="C11">
        <f t="shared" si="0"/>
        <v>19.05570703624274</v>
      </c>
      <c r="D11">
        <f t="shared" si="1"/>
        <v>1.1242929637572594</v>
      </c>
      <c r="E11">
        <f t="shared" si="2"/>
        <v>1.1242929637572594</v>
      </c>
      <c r="G11">
        <f t="shared" si="3"/>
        <v>1.2640346683540822</v>
      </c>
      <c r="J11">
        <f xml:space="preserve"> 10.989*(A11^0.2663)</f>
        <v>17.708421530681818</v>
      </c>
      <c r="K11">
        <f>(B11-J11)</f>
        <v>2.4715784693181817</v>
      </c>
      <c r="L11">
        <f t="shared" si="4"/>
        <v>2.4715784693181817</v>
      </c>
      <c r="N11">
        <f t="shared" si="5"/>
        <v>6.1087001299972057</v>
      </c>
    </row>
    <row r="12" spans="1:16" ht="18" x14ac:dyDescent="0.35">
      <c r="A12" s="1">
        <v>7</v>
      </c>
      <c r="B12" s="1">
        <v>18.95</v>
      </c>
      <c r="C12">
        <f t="shared" si="0"/>
        <v>19.904846056071193</v>
      </c>
      <c r="D12">
        <f t="shared" si="1"/>
        <v>-0.95484605607119377</v>
      </c>
      <c r="E12">
        <f t="shared" si="2"/>
        <v>0.95484605607119377</v>
      </c>
      <c r="G12">
        <f t="shared" si="3"/>
        <v>0.91173099079471331</v>
      </c>
      <c r="J12">
        <f xml:space="preserve"> 10.989*(A12^0.2663)</f>
        <v>18.45048477406112</v>
      </c>
      <c r="K12">
        <f>(B12-J12)</f>
        <v>0.49951522593887887</v>
      </c>
      <c r="L12">
        <f t="shared" si="4"/>
        <v>0.49951522593887887</v>
      </c>
      <c r="N12">
        <f t="shared" si="5"/>
        <v>0.2495154609447692</v>
      </c>
    </row>
    <row r="13" spans="1:16" ht="18" x14ac:dyDescent="0.35">
      <c r="A13" s="1">
        <v>8</v>
      </c>
      <c r="B13" s="1">
        <v>21.37</v>
      </c>
      <c r="C13">
        <f t="shared" si="0"/>
        <v>20.640403732343373</v>
      </c>
      <c r="D13">
        <f t="shared" si="1"/>
        <v>0.72959626765662833</v>
      </c>
      <c r="E13">
        <f t="shared" si="2"/>
        <v>0.72959626765662833</v>
      </c>
      <c r="G13">
        <f t="shared" si="3"/>
        <v>0.53231071377848249</v>
      </c>
      <c r="J13">
        <f xml:space="preserve"> 10.989*(A13^0.2663)</f>
        <v>19.118377686943195</v>
      </c>
      <c r="K13">
        <f>(B13-J13)</f>
        <v>2.2516223130568065</v>
      </c>
      <c r="L13">
        <f t="shared" si="4"/>
        <v>2.2516223130568065</v>
      </c>
      <c r="N13">
        <f t="shared" si="5"/>
        <v>5.0698030406552839</v>
      </c>
    </row>
    <row r="14" spans="1:16" ht="18" x14ac:dyDescent="0.35">
      <c r="A14" s="1">
        <v>8.49</v>
      </c>
      <c r="B14" s="1">
        <v>22.83</v>
      </c>
      <c r="C14">
        <f t="shared" si="0"/>
        <v>20.967870058280653</v>
      </c>
      <c r="D14">
        <f t="shared" si="1"/>
        <v>1.8621299417193455</v>
      </c>
      <c r="E14">
        <f t="shared" si="2"/>
        <v>1.8621299417193455</v>
      </c>
      <c r="G14">
        <f t="shared" si="3"/>
        <v>3.4675279198476932</v>
      </c>
      <c r="J14">
        <f xml:space="preserve"> 10.989*(A14^0.2663)</f>
        <v>19.423446392301745</v>
      </c>
      <c r="K14">
        <f>(B14-J14)</f>
        <v>3.4065536076982532</v>
      </c>
      <c r="L14">
        <f t="shared" si="4"/>
        <v>3.4065536076982532</v>
      </c>
      <c r="N14">
        <f t="shared" si="5"/>
        <v>11.604607482121985</v>
      </c>
    </row>
    <row r="15" spans="1:16" ht="18" x14ac:dyDescent="0.35">
      <c r="A15" s="1">
        <v>9</v>
      </c>
      <c r="B15" s="1">
        <v>26.33</v>
      </c>
      <c r="C15">
        <f t="shared" si="0"/>
        <v>21.289211584256563</v>
      </c>
      <c r="D15">
        <f t="shared" si="1"/>
        <v>5.0407884157434353</v>
      </c>
      <c r="E15">
        <f t="shared" si="2"/>
        <v>5.0407884157434353</v>
      </c>
      <c r="G15">
        <f t="shared" si="3"/>
        <v>25.409547852293212</v>
      </c>
      <c r="J15">
        <f xml:space="preserve"> 10.989*(A15^0.2663)</f>
        <v>19.727540954260885</v>
      </c>
      <c r="K15">
        <f>(B15-J15)</f>
        <v>6.6024590457391135</v>
      </c>
      <c r="L15">
        <f t="shared" si="4"/>
        <v>6.6024590457391135</v>
      </c>
      <c r="N15">
        <f t="shared" si="5"/>
        <v>43.592465450662246</v>
      </c>
    </row>
    <row r="16" spans="1:16" ht="18" x14ac:dyDescent="0.35">
      <c r="A16" s="1">
        <v>10</v>
      </c>
      <c r="B16" s="1">
        <v>25.2</v>
      </c>
      <c r="C16">
        <f t="shared" si="0"/>
        <v>21.869589984757702</v>
      </c>
      <c r="D16">
        <f t="shared" si="1"/>
        <v>3.3304100152422969</v>
      </c>
      <c r="E16">
        <f t="shared" si="2"/>
        <v>3.3304100152422969</v>
      </c>
      <c r="G16">
        <f t="shared" si="3"/>
        <v>11.091630869626195</v>
      </c>
      <c r="J16">
        <f xml:space="preserve"> 10.989*(A16^0.2663)</f>
        <v>20.288884666861893</v>
      </c>
      <c r="K16">
        <f>(B16-J16)</f>
        <v>4.9111153331381061</v>
      </c>
      <c r="L16">
        <f t="shared" si="4"/>
        <v>4.9111153331381061</v>
      </c>
      <c r="N16">
        <f t="shared" si="5"/>
        <v>24.119053815384213</v>
      </c>
    </row>
    <row r="17" spans="1:14" ht="18" x14ac:dyDescent="0.35">
      <c r="A17" s="1">
        <v>14.1</v>
      </c>
      <c r="B17" s="1">
        <v>24.45</v>
      </c>
      <c r="C17">
        <f t="shared" si="0"/>
        <v>23.762253871390438</v>
      </c>
      <c r="D17">
        <f t="shared" si="1"/>
        <v>0.68774612860956097</v>
      </c>
      <c r="E17">
        <f t="shared" si="2"/>
        <v>0.68774612860956097</v>
      </c>
      <c r="G17">
        <f t="shared" si="3"/>
        <v>0.4729947374174388</v>
      </c>
      <c r="J17">
        <f xml:space="preserve"> 10.989*(A17^0.2663)</f>
        <v>22.232854360339068</v>
      </c>
      <c r="K17">
        <f>(B17-J17)</f>
        <v>2.2171456396609308</v>
      </c>
      <c r="L17">
        <f t="shared" si="4"/>
        <v>2.2171456396609308</v>
      </c>
      <c r="N17">
        <f t="shared" si="5"/>
        <v>4.9157347874674784</v>
      </c>
    </row>
    <row r="18" spans="1:14" ht="18" x14ac:dyDescent="0.35">
      <c r="A18" s="1">
        <v>20</v>
      </c>
      <c r="B18" s="1">
        <v>25.5</v>
      </c>
      <c r="C18">
        <f t="shared" si="0"/>
        <v>25.687791228872157</v>
      </c>
      <c r="D18">
        <f t="shared" si="1"/>
        <v>-0.18779122887215749</v>
      </c>
      <c r="E18">
        <f t="shared" si="2"/>
        <v>0.18779122887215749</v>
      </c>
      <c r="G18">
        <f t="shared" si="3"/>
        <v>3.5265545641315038E-2</v>
      </c>
      <c r="J18">
        <f xml:space="preserve"> 10.989*(A18^0.2663)</f>
        <v>24.401833597450253</v>
      </c>
      <c r="K18">
        <f>(B18-J18)</f>
        <v>1.0981664025497473</v>
      </c>
      <c r="L18">
        <f t="shared" si="4"/>
        <v>1.0981664025497473</v>
      </c>
      <c r="N18">
        <f t="shared" si="5"/>
        <v>1.2059694476890537</v>
      </c>
    </row>
    <row r="19" spans="1:14" ht="18" x14ac:dyDescent="0.35">
      <c r="A19" s="1">
        <v>28.2</v>
      </c>
      <c r="B19" s="1">
        <v>31.5</v>
      </c>
      <c r="C19">
        <f t="shared" si="0"/>
        <v>27.580455115504897</v>
      </c>
      <c r="D19">
        <f t="shared" si="1"/>
        <v>3.9195448844951031</v>
      </c>
      <c r="E19">
        <f t="shared" si="2"/>
        <v>3.9195448844951031</v>
      </c>
      <c r="G19">
        <f t="shared" si="3"/>
        <v>15.362832101571732</v>
      </c>
      <c r="J19">
        <f xml:space="preserve"> 10.989*(A19^0.2663)</f>
        <v>26.739883507911568</v>
      </c>
      <c r="K19">
        <f>(B19-J19)</f>
        <v>4.7601164920884322</v>
      </c>
      <c r="L19">
        <f t="shared" si="4"/>
        <v>4.7601164920884322</v>
      </c>
      <c r="N19">
        <f t="shared" si="5"/>
        <v>22.658709018252281</v>
      </c>
    </row>
    <row r="20" spans="1:14" ht="18" x14ac:dyDescent="0.35">
      <c r="A20" s="1">
        <v>30</v>
      </c>
      <c r="B20" s="1">
        <v>27.6</v>
      </c>
      <c r="C20">
        <f t="shared" si="0"/>
        <v>27.921295776885984</v>
      </c>
      <c r="D20">
        <f t="shared" si="1"/>
        <v>-0.32129577688598232</v>
      </c>
      <c r="E20">
        <f t="shared" si="2"/>
        <v>0.32129577688598232</v>
      </c>
      <c r="G20">
        <f t="shared" si="3"/>
        <v>0.10323097624476693</v>
      </c>
      <c r="J20">
        <f xml:space="preserve"> 10.989*(A20^0.2663)</f>
        <v>27.184137830619193</v>
      </c>
      <c r="K20">
        <f>(B20-J20)</f>
        <v>0.41586216938080867</v>
      </c>
      <c r="L20">
        <f t="shared" si="4"/>
        <v>0.41586216938080867</v>
      </c>
      <c r="N20">
        <f t="shared" si="5"/>
        <v>0.17294134392211238</v>
      </c>
    </row>
    <row r="21" spans="1:14" ht="18" x14ac:dyDescent="0.35">
      <c r="A21" s="1">
        <v>40</v>
      </c>
      <c r="B21" s="1">
        <v>28.5</v>
      </c>
      <c r="C21">
        <f t="shared" si="0"/>
        <v>29.505992472986616</v>
      </c>
      <c r="D21">
        <f t="shared" si="1"/>
        <v>-1.0059924729866161</v>
      </c>
      <c r="E21">
        <f t="shared" si="2"/>
        <v>1.0059924729866161</v>
      </c>
      <c r="G21">
        <f t="shared" si="3"/>
        <v>1.0120208557057275</v>
      </c>
      <c r="J21">
        <f xml:space="preserve"> 10.989*(A21^0.2663)</f>
        <v>29.348556743989363</v>
      </c>
      <c r="K21">
        <f>(B21-J21)</f>
        <v>-0.84855674398936287</v>
      </c>
      <c r="L21">
        <f t="shared" si="4"/>
        <v>0.84855674398936287</v>
      </c>
      <c r="N21">
        <f t="shared" si="5"/>
        <v>0.72004854776982907</v>
      </c>
    </row>
    <row r="22" spans="1:14" ht="18" x14ac:dyDescent="0.35">
      <c r="A22" s="1">
        <v>42.5</v>
      </c>
      <c r="B22" s="1">
        <v>39.700000000000003</v>
      </c>
      <c r="C22">
        <f t="shared" si="0"/>
        <v>29.83994320226245</v>
      </c>
      <c r="D22">
        <f t="shared" si="1"/>
        <v>9.8600567977375526</v>
      </c>
      <c r="E22">
        <f t="shared" si="2"/>
        <v>9.8600567977375526</v>
      </c>
      <c r="G22">
        <f t="shared" si="3"/>
        <v>97.220720054610524</v>
      </c>
      <c r="J22">
        <f xml:space="preserve"> 10.989*(A22^0.2663)</f>
        <v>29.826215092300469</v>
      </c>
      <c r="K22">
        <f>(B22-J22)</f>
        <v>9.8737849076995339</v>
      </c>
      <c r="L22">
        <f t="shared" si="4"/>
        <v>9.8737849076995339</v>
      </c>
      <c r="N22">
        <f t="shared" si="5"/>
        <v>97.491628403515094</v>
      </c>
    </row>
    <row r="23" spans="1:14" ht="18" x14ac:dyDescent="0.35">
      <c r="A23" s="1">
        <v>50</v>
      </c>
      <c r="B23" s="1">
        <v>30.1</v>
      </c>
      <c r="C23">
        <f t="shared" si="0"/>
        <v>30.735178725400942</v>
      </c>
      <c r="D23">
        <f t="shared" si="1"/>
        <v>-0.63517872540094089</v>
      </c>
      <c r="E23">
        <f t="shared" si="2"/>
        <v>0.63517872540094089</v>
      </c>
      <c r="G23">
        <f t="shared" si="3"/>
        <v>0.40345201320196389</v>
      </c>
      <c r="J23">
        <f xml:space="preserve"> 10.989*(A23^0.2663)</f>
        <v>31.14539803888859</v>
      </c>
      <c r="K23">
        <f>(B23-J23)</f>
        <v>-1.0453980388885888</v>
      </c>
      <c r="L23">
        <f t="shared" si="4"/>
        <v>1.0453980388885888</v>
      </c>
      <c r="N23">
        <f t="shared" si="5"/>
        <v>1.0928570597121074</v>
      </c>
    </row>
    <row r="24" spans="1:14" ht="18" x14ac:dyDescent="0.35">
      <c r="A24" s="1">
        <v>56.5</v>
      </c>
      <c r="B24" s="1">
        <v>30.3</v>
      </c>
      <c r="C24">
        <f t="shared" si="0"/>
        <v>31.408414555262471</v>
      </c>
      <c r="D24">
        <f t="shared" si="1"/>
        <v>-1.1084145552624705</v>
      </c>
      <c r="E24">
        <f t="shared" si="2"/>
        <v>1.1084145552624705</v>
      </c>
      <c r="G24">
        <f t="shared" si="3"/>
        <v>1.2285828263177001</v>
      </c>
      <c r="J24">
        <f xml:space="preserve"> 10.989*(A24^0.2663)</f>
        <v>32.175749715918499</v>
      </c>
      <c r="K24">
        <f>(B24-J24)</f>
        <v>-1.8757497159184986</v>
      </c>
      <c r="L24">
        <f t="shared" si="4"/>
        <v>1.8757497159184986</v>
      </c>
      <c r="N24">
        <f t="shared" si="5"/>
        <v>3.5184369967683282</v>
      </c>
    </row>
    <row r="25" spans="1:14" ht="18" x14ac:dyDescent="0.35">
      <c r="A25" s="1">
        <v>60</v>
      </c>
      <c r="B25" s="1">
        <v>31</v>
      </c>
      <c r="C25">
        <f t="shared" si="0"/>
        <v>31.739497021000439</v>
      </c>
      <c r="D25">
        <f t="shared" si="1"/>
        <v>-0.73949702100043879</v>
      </c>
      <c r="E25">
        <f t="shared" si="2"/>
        <v>0.73949702100043879</v>
      </c>
      <c r="G25">
        <f t="shared" si="3"/>
        <v>0.54685584406852339</v>
      </c>
      <c r="J25">
        <f xml:space="preserve"> 10.989*(A25^0.2663)</f>
        <v>32.694887803091937</v>
      </c>
      <c r="K25">
        <f>(B25-J25)</f>
        <v>-1.6948878030919374</v>
      </c>
      <c r="L25">
        <f t="shared" si="4"/>
        <v>1.6948878030919374</v>
      </c>
      <c r="N25">
        <f t="shared" si="5"/>
        <v>2.8726446650698141</v>
      </c>
    </row>
    <row r="26" spans="1:14" ht="18" x14ac:dyDescent="0.35">
      <c r="A26" s="1">
        <v>70</v>
      </c>
      <c r="B26" s="1">
        <v>32.1</v>
      </c>
      <c r="C26">
        <f t="shared" si="0"/>
        <v>32.588636040828895</v>
      </c>
      <c r="D26">
        <f t="shared" si="1"/>
        <v>-0.48863604082889367</v>
      </c>
      <c r="E26">
        <f t="shared" si="2"/>
        <v>0.48863604082889367</v>
      </c>
      <c r="G26">
        <f t="shared" si="3"/>
        <v>0.23876518039693626</v>
      </c>
      <c r="J26">
        <f xml:space="preserve"> 10.989*(A26^0.2663)</f>
        <v>34.064952009156201</v>
      </c>
      <c r="K26">
        <f>(B26-J26)</f>
        <v>-1.9649520091561996</v>
      </c>
      <c r="L26">
        <f t="shared" si="4"/>
        <v>1.9649520091561996</v>
      </c>
      <c r="N26">
        <f t="shared" si="5"/>
        <v>3.8610363982869855</v>
      </c>
    </row>
    <row r="27" spans="1:14" ht="18" x14ac:dyDescent="0.35">
      <c r="A27" s="1">
        <v>80</v>
      </c>
      <c r="B27" s="1">
        <v>27.8</v>
      </c>
      <c r="C27">
        <f t="shared" si="0"/>
        <v>33.324193717101075</v>
      </c>
      <c r="D27">
        <f t="shared" si="1"/>
        <v>-5.524193717101074</v>
      </c>
      <c r="E27">
        <f t="shared" si="2"/>
        <v>5.524193717101074</v>
      </c>
      <c r="G27">
        <f t="shared" si="3"/>
        <v>30.516716224058982</v>
      </c>
      <c r="J27">
        <f xml:space="preserve"> 10.989*(A27^0.2663)</f>
        <v>35.298076249694802</v>
      </c>
      <c r="K27">
        <f>(B27-J27)</f>
        <v>-7.498076249694801</v>
      </c>
      <c r="L27">
        <f t="shared" si="4"/>
        <v>7.498076249694801</v>
      </c>
      <c r="N27">
        <f t="shared" si="5"/>
        <v>56.221147446237254</v>
      </c>
    </row>
    <row r="28" spans="1:14" ht="18" x14ac:dyDescent="0.35">
      <c r="A28" s="1">
        <v>84.9</v>
      </c>
      <c r="B28" s="1">
        <v>33.700000000000003</v>
      </c>
      <c r="C28">
        <f t="shared" si="0"/>
        <v>33.651660043038355</v>
      </c>
      <c r="D28">
        <f t="shared" si="1"/>
        <v>4.8339956961648056E-2</v>
      </c>
      <c r="E28">
        <f t="shared" si="2"/>
        <v>4.8339956961648056E-2</v>
      </c>
      <c r="G28">
        <f t="shared" si="3"/>
        <v>2.3367514390539865E-3</v>
      </c>
      <c r="J28">
        <f xml:space="preserve"> 10.989*(A28^0.2663)</f>
        <v>35.861321656782671</v>
      </c>
      <c r="K28">
        <f>(B28-J28)</f>
        <v>-2.1613216567826683</v>
      </c>
      <c r="L28">
        <f t="shared" si="4"/>
        <v>2.1613216567826683</v>
      </c>
      <c r="N28">
        <f t="shared" si="5"/>
        <v>4.6713113040777783</v>
      </c>
    </row>
    <row r="29" spans="1:14" ht="18" x14ac:dyDescent="0.35">
      <c r="A29" s="1">
        <v>90</v>
      </c>
      <c r="B29" s="1">
        <v>30.5</v>
      </c>
      <c r="C29">
        <f t="shared" si="0"/>
        <v>33.973001569014265</v>
      </c>
      <c r="D29">
        <f t="shared" si="1"/>
        <v>-3.473001569014265</v>
      </c>
      <c r="E29">
        <f t="shared" si="2"/>
        <v>3.473001569014265</v>
      </c>
      <c r="G29">
        <f t="shared" si="3"/>
        <v>12.061739898375547</v>
      </c>
      <c r="J29">
        <f xml:space="preserve"> 10.989*(A29^0.2663)</f>
        <v>36.422768512311727</v>
      </c>
      <c r="K29">
        <f>(B29-J29)</f>
        <v>-5.9227685123117269</v>
      </c>
      <c r="L29">
        <f t="shared" si="4"/>
        <v>5.9227685123117269</v>
      </c>
      <c r="N29">
        <f t="shared" si="5"/>
        <v>35.079186850431263</v>
      </c>
    </row>
    <row r="30" spans="1:14" ht="18" x14ac:dyDescent="0.35">
      <c r="A30" s="1">
        <v>100</v>
      </c>
      <c r="B30" s="1">
        <v>33.200000000000003</v>
      </c>
      <c r="C30">
        <f t="shared" si="0"/>
        <v>34.553379969515404</v>
      </c>
      <c r="D30">
        <f t="shared" si="1"/>
        <v>-1.3533799695154016</v>
      </c>
      <c r="E30">
        <f t="shared" si="2"/>
        <v>1.3533799695154016</v>
      </c>
      <c r="G30">
        <f t="shared" si="3"/>
        <v>1.8316373418855094</v>
      </c>
      <c r="J30">
        <f xml:space="preserve"> 10.989*(A30^0.2663)</f>
        <v>37.45917199246734</v>
      </c>
      <c r="K30">
        <f>(B30-J30)</f>
        <v>-4.259171992467337</v>
      </c>
      <c r="L30">
        <f t="shared" si="4"/>
        <v>4.259171992467337</v>
      </c>
      <c r="N30">
        <f t="shared" si="5"/>
        <v>18.140546061418185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F1E5-7590-4CF3-84AF-BF3891BB4EDE}">
  <dimension ref="A1:E16"/>
  <sheetViews>
    <sheetView workbookViewId="0">
      <selection sqref="A1:E16"/>
    </sheetView>
  </sheetViews>
  <sheetFormatPr baseColWidth="10" defaultRowHeight="14.5" x14ac:dyDescent="0.35"/>
  <cols>
    <col min="3" max="3" width="4.54296875" customWidth="1"/>
  </cols>
  <sheetData>
    <row r="1" spans="1:5" ht="17.5" x14ac:dyDescent="0.35">
      <c r="A1" s="5" t="s">
        <v>2</v>
      </c>
      <c r="B1" s="5" t="s">
        <v>0</v>
      </c>
      <c r="C1" s="6"/>
      <c r="D1" s="5" t="s">
        <v>2</v>
      </c>
      <c r="E1" s="5" t="s">
        <v>0</v>
      </c>
    </row>
    <row r="2" spans="1:5" ht="18" x14ac:dyDescent="0.35">
      <c r="A2" s="2">
        <v>1</v>
      </c>
      <c r="B2" s="2">
        <v>9.42</v>
      </c>
      <c r="C2" s="4"/>
      <c r="D2" s="2">
        <v>14.1</v>
      </c>
      <c r="E2" s="2">
        <v>24.45</v>
      </c>
    </row>
    <row r="3" spans="1:5" ht="18" x14ac:dyDescent="0.35">
      <c r="A3" s="2">
        <v>1.4</v>
      </c>
      <c r="B3" s="2">
        <v>9.6</v>
      </c>
      <c r="C3" s="4"/>
      <c r="D3" s="2">
        <v>20</v>
      </c>
      <c r="E3" s="2">
        <v>25.5</v>
      </c>
    </row>
    <row r="4" spans="1:5" ht="18" x14ac:dyDescent="0.35">
      <c r="A4" s="2">
        <v>2</v>
      </c>
      <c r="B4" s="2">
        <v>12.18</v>
      </c>
      <c r="C4" s="4"/>
      <c r="D4" s="2">
        <v>28.2</v>
      </c>
      <c r="E4" s="2">
        <v>31.5</v>
      </c>
    </row>
    <row r="5" spans="1:5" ht="18" x14ac:dyDescent="0.35">
      <c r="A5" s="2">
        <v>2.83</v>
      </c>
      <c r="B5" s="2">
        <v>12.9</v>
      </c>
      <c r="C5" s="4"/>
      <c r="D5" s="2">
        <v>30</v>
      </c>
      <c r="E5" s="2">
        <v>27.6</v>
      </c>
    </row>
    <row r="6" spans="1:5" ht="18" x14ac:dyDescent="0.35">
      <c r="A6" s="2">
        <v>3</v>
      </c>
      <c r="B6" s="2">
        <v>14.18</v>
      </c>
      <c r="C6" s="4"/>
      <c r="D6" s="2">
        <v>40</v>
      </c>
      <c r="E6" s="2">
        <v>28.5</v>
      </c>
    </row>
    <row r="7" spans="1:5" ht="18" x14ac:dyDescent="0.35">
      <c r="A7" s="2">
        <v>4</v>
      </c>
      <c r="B7" s="2">
        <v>15.75</v>
      </c>
      <c r="C7" s="4"/>
      <c r="D7" s="2">
        <v>42.5</v>
      </c>
      <c r="E7" s="2">
        <v>39.700000000000003</v>
      </c>
    </row>
    <row r="8" spans="1:5" ht="18" x14ac:dyDescent="0.35">
      <c r="A8" s="2">
        <v>4.24</v>
      </c>
      <c r="B8" s="2">
        <v>14.4</v>
      </c>
      <c r="C8" s="4"/>
      <c r="D8" s="2">
        <v>50</v>
      </c>
      <c r="E8" s="2">
        <v>30.1</v>
      </c>
    </row>
    <row r="9" spans="1:5" ht="18" x14ac:dyDescent="0.35">
      <c r="A9" s="2">
        <v>5</v>
      </c>
      <c r="B9" s="2">
        <v>17.760000000000002</v>
      </c>
      <c r="C9" s="4"/>
      <c r="D9" s="2">
        <v>56.5</v>
      </c>
      <c r="E9" s="2">
        <v>30.3</v>
      </c>
    </row>
    <row r="10" spans="1:5" ht="18" x14ac:dyDescent="0.35">
      <c r="A10" s="2">
        <v>5.65</v>
      </c>
      <c r="B10" s="2">
        <v>17.12</v>
      </c>
      <c r="C10" s="4"/>
      <c r="D10" s="2">
        <v>60</v>
      </c>
      <c r="E10" s="2">
        <v>31</v>
      </c>
    </row>
    <row r="11" spans="1:5" ht="18" x14ac:dyDescent="0.35">
      <c r="A11" s="2">
        <v>6</v>
      </c>
      <c r="B11" s="2">
        <v>20.18</v>
      </c>
      <c r="C11" s="4"/>
      <c r="D11" s="2">
        <v>70</v>
      </c>
      <c r="E11" s="2">
        <v>32.1</v>
      </c>
    </row>
    <row r="12" spans="1:5" ht="18" x14ac:dyDescent="0.35">
      <c r="A12" s="2">
        <v>7</v>
      </c>
      <c r="B12" s="2">
        <v>18.95</v>
      </c>
      <c r="C12" s="4"/>
      <c r="D12" s="2">
        <v>80</v>
      </c>
      <c r="E12" s="2">
        <v>27.8</v>
      </c>
    </row>
    <row r="13" spans="1:5" ht="18" x14ac:dyDescent="0.35">
      <c r="A13" s="2">
        <v>8</v>
      </c>
      <c r="B13" s="2">
        <v>21.37</v>
      </c>
      <c r="C13" s="4"/>
      <c r="D13" s="2">
        <v>84.9</v>
      </c>
      <c r="E13" s="2">
        <v>33.700000000000003</v>
      </c>
    </row>
    <row r="14" spans="1:5" ht="18" x14ac:dyDescent="0.35">
      <c r="A14" s="2">
        <v>8.49</v>
      </c>
      <c r="B14" s="2">
        <v>22.83</v>
      </c>
      <c r="C14" s="4"/>
      <c r="D14" s="2">
        <v>90</v>
      </c>
      <c r="E14" s="2">
        <v>30.5</v>
      </c>
    </row>
    <row r="15" spans="1:5" ht="18" x14ac:dyDescent="0.35">
      <c r="A15" s="2">
        <v>9</v>
      </c>
      <c r="B15" s="2">
        <v>26.33</v>
      </c>
      <c r="C15" s="4"/>
      <c r="D15" s="2">
        <v>100</v>
      </c>
      <c r="E15" s="2">
        <v>33.200000000000003</v>
      </c>
    </row>
    <row r="16" spans="1:5" ht="18" x14ac:dyDescent="0.35">
      <c r="A16" s="2">
        <v>10</v>
      </c>
      <c r="B16" s="2" t="s">
        <v>1</v>
      </c>
      <c r="C16" s="4"/>
      <c r="D16" s="3"/>
      <c r="E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M'Po N'Tcha</dc:creator>
  <cp:lastModifiedBy>Tini DEGAN</cp:lastModifiedBy>
  <dcterms:created xsi:type="dcterms:W3CDTF">2025-01-31T23:18:12Z</dcterms:created>
  <dcterms:modified xsi:type="dcterms:W3CDTF">2026-02-08T21:41:07Z</dcterms:modified>
</cp:coreProperties>
</file>